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agarwal/Desktop/Invoices 2025-26/"/>
    </mc:Choice>
  </mc:AlternateContent>
  <xr:revisionPtr revIDLastSave="0" documentId="13_ncr:1_{171E3510-9550-954D-8343-BB6805C56922}" xr6:coauthVersionLast="47" xr6:coauthVersionMax="47" xr10:uidLastSave="{00000000-0000-0000-0000-000000000000}"/>
  <bookViews>
    <workbookView xWindow="0" yWindow="480" windowWidth="28800" windowHeight="17520" xr2:uid="{EB8912A3-5E3D-4B70-A0B0-DE01D0893830}"/>
  </bookViews>
  <sheets>
    <sheet name="Room With Foo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2" l="1"/>
  <c r="K28" i="2" l="1"/>
  <c r="F43" i="2" l="1"/>
  <c r="J43" i="2" s="1"/>
  <c r="H43" i="2" l="1"/>
  <c r="K30" i="2"/>
  <c r="F42" i="2"/>
  <c r="K29" i="2"/>
  <c r="J42" i="2" l="1"/>
  <c r="H42" i="2"/>
  <c r="K37" i="2"/>
  <c r="F44" i="2"/>
  <c r="J44" i="2"/>
  <c r="H44" i="2" l="1"/>
</calcChain>
</file>

<file path=xl/sharedStrings.xml><?xml version="1.0" encoding="utf-8"?>
<sst xmlns="http://schemas.openxmlformats.org/spreadsheetml/2006/main" count="65" uniqueCount="57">
  <si>
    <t xml:space="preserve">TAX INVOICE </t>
  </si>
  <si>
    <t>Invoice No.</t>
  </si>
  <si>
    <t>Dated</t>
  </si>
  <si>
    <t>Reg. Office : Khilonewala House,</t>
  </si>
  <si>
    <t>Terms of Payment</t>
  </si>
  <si>
    <t>A-2, Hauz Khas, New Delhi-110016</t>
  </si>
  <si>
    <t xml:space="preserve">CHECK IN    :  </t>
  </si>
  <si>
    <t xml:space="preserve">CHECK OUT : </t>
  </si>
  <si>
    <t>Consignee</t>
  </si>
  <si>
    <t>GSTIN Of Consignee</t>
  </si>
  <si>
    <t>Place of Service</t>
  </si>
  <si>
    <t>New Delhi</t>
  </si>
  <si>
    <t>Terms  of Payment</t>
  </si>
  <si>
    <t>Description</t>
  </si>
  <si>
    <t>Period</t>
  </si>
  <si>
    <t>Rate</t>
  </si>
  <si>
    <t>%</t>
  </si>
  <si>
    <t>Discount</t>
  </si>
  <si>
    <t>Amount</t>
  </si>
  <si>
    <t>INR</t>
  </si>
  <si>
    <t>CGST</t>
  </si>
  <si>
    <t>SGST</t>
  </si>
  <si>
    <t>IGST</t>
  </si>
  <si>
    <t>Amount Chargeable:</t>
  </si>
  <si>
    <t>(in words)</t>
  </si>
  <si>
    <t>E.&amp; O.E.</t>
  </si>
  <si>
    <t>Decleration:</t>
  </si>
  <si>
    <t xml:space="preserve">We declare that this Invoice shows the actual price of </t>
  </si>
  <si>
    <t xml:space="preserve">the particulars described and all the particulars are true </t>
  </si>
  <si>
    <t>and correct.</t>
  </si>
  <si>
    <t>GSTIN/UIN : 07AAACW8105D1ZM</t>
  </si>
  <si>
    <t>State Name: Delhi, Code: 07</t>
  </si>
  <si>
    <t>CIN: U45400DL2008PTC181581</t>
  </si>
  <si>
    <t>E-Mail: info@woodpecker4me.com</t>
  </si>
  <si>
    <t>Delivery Note</t>
  </si>
  <si>
    <t>Total Tax Amount</t>
  </si>
  <si>
    <t>SGST/UTGST</t>
  </si>
  <si>
    <t>Taxable Value</t>
  </si>
  <si>
    <t>Total</t>
  </si>
  <si>
    <t>HSN/SAC</t>
  </si>
  <si>
    <t>Company's Bank Details</t>
  </si>
  <si>
    <t>A/c Holder's Name: Woodpecker Apartments &amp; Suites Pvt. Ltd.</t>
  </si>
  <si>
    <t>Bank Name: HDFC Bank</t>
  </si>
  <si>
    <t>A/C No.: 50200052888170</t>
  </si>
  <si>
    <t>Branch &amp; IFSC: Hauz Khas, New Delhi &amp; HDFC0000467</t>
  </si>
  <si>
    <t>for Woodpecker Apartments &amp; Suites Pvt. Ltd.
Authorised Signatory</t>
  </si>
  <si>
    <t>M/s Woodpecker Apartments &amp; Suites Private Limited</t>
  </si>
  <si>
    <t>Food Charges /other charges</t>
  </si>
  <si>
    <t>19.09.2025</t>
  </si>
  <si>
    <t>WASPL :730/ 25-26</t>
  </si>
  <si>
    <t>14.09.2025</t>
  </si>
  <si>
    <t>20.09.2025</t>
  </si>
  <si>
    <t>Stay of  Guest Mr S Deepak Kumar</t>
  </si>
  <si>
    <t>in 1 Room D-1/30 Hauz khasc ,New Delhi-110016</t>
  </si>
  <si>
    <t>Rupees Fourteen Thousand One Hundred Tweleve only</t>
  </si>
  <si>
    <t>Mr S Deepak Kumar</t>
  </si>
  <si>
    <t>2.50%
2.50%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</si>
</sst>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22222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Helvetica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22222"/>
      <name val="Arial"/>
      <family val="2"/>
    </font>
    <font>
      <b/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28">
    <xf numFmtId="0" fontId="0" fillId="0" borderId="0" xfId="0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5" fillId="0" borderId="8" xfId="0" applyFont="1" applyBorder="1" applyAlignment="1">
      <alignment horizontal="right"/>
    </xf>
    <xf numFmtId="0" fontId="0" fillId="0" borderId="8" xfId="0" applyBorder="1"/>
    <xf numFmtId="0" fontId="5" fillId="0" borderId="1" xfId="0" applyFont="1" applyBorder="1"/>
    <xf numFmtId="0" fontId="6" fillId="0" borderId="7" xfId="0" applyFont="1" applyBorder="1"/>
    <xf numFmtId="0" fontId="6" fillId="0" borderId="0" xfId="0" applyFont="1"/>
    <xf numFmtId="0" fontId="6" fillId="0" borderId="8" xfId="0" applyFont="1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 applyAlignment="1">
      <alignment horizontal="right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7" fillId="0" borderId="7" xfId="0" applyFont="1" applyBorder="1"/>
    <xf numFmtId="0" fontId="7" fillId="0" borderId="0" xfId="0" applyFont="1"/>
    <xf numFmtId="0" fontId="7" fillId="0" borderId="8" xfId="0" applyFont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5" fillId="0" borderId="2" xfId="0" applyFont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1" fontId="5" fillId="0" borderId="10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9" xfId="0" applyBorder="1"/>
    <xf numFmtId="0" fontId="5" fillId="0" borderId="10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5" fillId="0" borderId="10" xfId="0" applyNumberFormat="1" applyFont="1" applyBorder="1"/>
    <xf numFmtId="0" fontId="5" fillId="0" borderId="7" xfId="0" applyFont="1" applyBorder="1" applyAlignment="1">
      <alignment horizontal="left"/>
    </xf>
    <xf numFmtId="0" fontId="9" fillId="0" borderId="0" xfId="0" applyFont="1"/>
    <xf numFmtId="43" fontId="10" fillId="0" borderId="0" xfId="1" applyFont="1" applyBorder="1"/>
    <xf numFmtId="0" fontId="5" fillId="0" borderId="10" xfId="0" applyFont="1" applyBorder="1"/>
    <xf numFmtId="0" fontId="5" fillId="0" borderId="7" xfId="0" applyFont="1" applyBorder="1" applyAlignment="1">
      <alignment horizontal="right"/>
    </xf>
    <xf numFmtId="2" fontId="5" fillId="0" borderId="11" xfId="0" applyNumberFormat="1" applyFont="1" applyBorder="1"/>
    <xf numFmtId="0" fontId="5" fillId="0" borderId="0" xfId="0" applyFont="1" applyAlignment="1">
      <alignment horizontal="right"/>
    </xf>
    <xf numFmtId="0" fontId="11" fillId="0" borderId="0" xfId="0" applyFont="1"/>
    <xf numFmtId="164" fontId="10" fillId="0" borderId="8" xfId="0" applyNumberFormat="1" applyFont="1" applyBorder="1"/>
    <xf numFmtId="0" fontId="5" fillId="0" borderId="7" xfId="0" applyFont="1" applyBorder="1" applyAlignment="1">
      <alignment horizontal="center"/>
    </xf>
    <xf numFmtId="0" fontId="7" fillId="0" borderId="7" xfId="0" applyFont="1" applyBorder="1" applyAlignment="1">
      <alignment horizontal="right"/>
    </xf>
    <xf numFmtId="0" fontId="7" fillId="0" borderId="0" xfId="0" applyFont="1" applyAlignment="1">
      <alignment horizontal="right"/>
    </xf>
    <xf numFmtId="14" fontId="7" fillId="0" borderId="7" xfId="0" applyNumberFormat="1" applyFont="1" applyBorder="1" applyAlignment="1">
      <alignment horizontal="right"/>
    </xf>
    <xf numFmtId="43" fontId="5" fillId="0" borderId="10" xfId="1" applyFont="1" applyBorder="1"/>
    <xf numFmtId="0" fontId="0" fillId="0" borderId="10" xfId="0" applyBorder="1"/>
    <xf numFmtId="0" fontId="7" fillId="0" borderId="5" xfId="0" applyFont="1" applyBorder="1"/>
    <xf numFmtId="0" fontId="0" fillId="0" borderId="11" xfId="0" applyBorder="1"/>
    <xf numFmtId="0" fontId="0" fillId="0" borderId="7" xfId="0" applyBorder="1" applyAlignment="1">
      <alignment horizontal="right"/>
    </xf>
    <xf numFmtId="0" fontId="7" fillId="0" borderId="2" xfId="0" applyFont="1" applyBorder="1"/>
    <xf numFmtId="0" fontId="7" fillId="0" borderId="3" xfId="0" applyFont="1" applyBorder="1"/>
    <xf numFmtId="43" fontId="5" fillId="0" borderId="3" xfId="1" applyFont="1" applyBorder="1"/>
    <xf numFmtId="0" fontId="7" fillId="0" borderId="6" xfId="0" applyFont="1" applyBorder="1"/>
    <xf numFmtId="0" fontId="0" fillId="0" borderId="4" xfId="0" applyBorder="1" applyAlignment="1">
      <alignment horizontal="right"/>
    </xf>
    <xf numFmtId="0" fontId="12" fillId="0" borderId="2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5" fillId="0" borderId="21" xfId="0" applyFont="1" applyBorder="1"/>
    <xf numFmtId="0" fontId="0" fillId="0" borderId="21" xfId="0" applyBorder="1"/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2" fontId="5" fillId="0" borderId="26" xfId="0" applyNumberFormat="1" applyFont="1" applyBorder="1" applyAlignment="1">
      <alignment vertical="top" wrapText="1"/>
    </xf>
    <xf numFmtId="2" fontId="5" fillId="0" borderId="25" xfId="0" applyNumberFormat="1" applyFont="1" applyBorder="1" applyAlignment="1">
      <alignment vertical="top" wrapText="1"/>
    </xf>
    <xf numFmtId="4" fontId="0" fillId="0" borderId="26" xfId="0" applyNumberFormat="1" applyBorder="1" applyAlignment="1">
      <alignment vertical="top" wrapText="1"/>
    </xf>
    <xf numFmtId="4" fontId="0" fillId="0" borderId="25" xfId="0" applyNumberFormat="1" applyBorder="1" applyAlignment="1">
      <alignment vertical="top" wrapText="1"/>
    </xf>
    <xf numFmtId="4" fontId="0" fillId="0" borderId="21" xfId="0" applyNumberFormat="1" applyBorder="1" applyAlignment="1">
      <alignment horizontal="right"/>
    </xf>
    <xf numFmtId="4" fontId="0" fillId="0" borderId="29" xfId="0" applyNumberFormat="1" applyBorder="1"/>
    <xf numFmtId="4" fontId="5" fillId="0" borderId="30" xfId="1" applyNumberFormat="1" applyFont="1" applyBorder="1" applyAlignment="1">
      <alignment vertical="top" wrapText="1"/>
    </xf>
    <xf numFmtId="4" fontId="5" fillId="0" borderId="31" xfId="1" applyNumberFormat="1" applyFont="1" applyBorder="1" applyAlignment="1">
      <alignment vertical="top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2"/>
    <xf numFmtId="0" fontId="1" fillId="0" borderId="0" xfId="0" applyFont="1"/>
    <xf numFmtId="0" fontId="19" fillId="0" borderId="0" xfId="0" applyFont="1"/>
    <xf numFmtId="0" fontId="20" fillId="0" borderId="0" xfId="0" applyFont="1"/>
    <xf numFmtId="0" fontId="3" fillId="0" borderId="0" xfId="0" applyFont="1"/>
    <xf numFmtId="10" fontId="5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wrapText="1"/>
    </xf>
    <xf numFmtId="0" fontId="5" fillId="0" borderId="25" xfId="0" applyFont="1" applyBorder="1" applyAlignment="1">
      <alignment horizontal="center" wrapText="1"/>
    </xf>
    <xf numFmtId="0" fontId="3" fillId="0" borderId="18" xfId="0" applyFont="1" applyBorder="1" applyAlignment="1">
      <alignment horizontal="center" vertical="center"/>
    </xf>
    <xf numFmtId="43" fontId="5" fillId="0" borderId="24" xfId="1" applyFont="1" applyBorder="1" applyAlignment="1">
      <alignment horizontal="center" vertical="center" wrapText="1"/>
    </xf>
    <xf numFmtId="43" fontId="5" fillId="0" borderId="28" xfId="1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2" xfId="0" applyBorder="1" applyAlignment="1">
      <alignment horizontal="right" vertical="top" wrapText="1"/>
    </xf>
    <xf numFmtId="0" fontId="0" fillId="0" borderId="12" xfId="0" applyBorder="1" applyAlignment="1">
      <alignment horizontal="right" vertical="top"/>
    </xf>
    <xf numFmtId="0" fontId="0" fillId="0" borderId="20" xfId="0" applyBorder="1" applyAlignment="1">
      <alignment horizontal="right" vertical="top"/>
    </xf>
    <xf numFmtId="0" fontId="0" fillId="0" borderId="21" xfId="0" applyBorder="1" applyAlignment="1">
      <alignment horizontal="right" vertical="top"/>
    </xf>
    <xf numFmtId="0" fontId="0" fillId="0" borderId="22" xfId="0" applyBorder="1" applyAlignment="1">
      <alignment horizontal="right" vertical="top"/>
    </xf>
    <xf numFmtId="9" fontId="0" fillId="0" borderId="26" xfId="0" applyNumberFormat="1" applyBorder="1" applyAlignment="1">
      <alignment horizontal="center" vertical="top" wrapText="1"/>
    </xf>
    <xf numFmtId="9" fontId="0" fillId="0" borderId="25" xfId="0" applyNumberFormat="1" applyBorder="1" applyAlignment="1">
      <alignment horizontal="center" vertical="top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8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6540-3186-4A97-B99D-4ABB0FA3E8DF}">
  <dimension ref="A1:P55"/>
  <sheetViews>
    <sheetView tabSelected="1" zoomScaleNormal="100" workbookViewId="0">
      <selection activeCell="B11" sqref="B11"/>
    </sheetView>
  </sheetViews>
  <sheetFormatPr baseColWidth="10" defaultColWidth="8.83203125" defaultRowHeight="15" x14ac:dyDescent="0.2"/>
  <cols>
    <col min="7" max="8" width="9.33203125" bestFit="1" customWidth="1"/>
    <col min="10" max="10" width="9.33203125" bestFit="1" customWidth="1"/>
    <col min="11" max="11" width="10" bestFit="1" customWidth="1"/>
  </cols>
  <sheetData>
    <row r="1" spans="1:16" x14ac:dyDescent="0.2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6"/>
    </row>
    <row r="2" spans="1:16" ht="16" thickBot="1" x14ac:dyDescent="0.25">
      <c r="A2" s="2"/>
      <c r="B2" s="3"/>
      <c r="C2" s="3"/>
      <c r="D2" s="3"/>
      <c r="E2" s="3"/>
      <c r="F2" s="3"/>
      <c r="G2" s="3"/>
      <c r="H2" s="4"/>
      <c r="I2" s="3"/>
      <c r="J2" s="3"/>
      <c r="K2" s="5"/>
    </row>
    <row r="3" spans="1:16" x14ac:dyDescent="0.2">
      <c r="A3" s="6"/>
      <c r="B3" s="7"/>
      <c r="C3" s="7"/>
      <c r="D3" s="7"/>
      <c r="E3" s="7"/>
      <c r="F3" s="8"/>
      <c r="G3" s="6" t="s">
        <v>1</v>
      </c>
      <c r="H3" s="9"/>
      <c r="I3" s="7" t="s">
        <v>2</v>
      </c>
      <c r="J3" s="7"/>
      <c r="K3" s="8"/>
    </row>
    <row r="4" spans="1:16" ht="16" thickBot="1" x14ac:dyDescent="0.25">
      <c r="A4" s="10" t="s">
        <v>46</v>
      </c>
      <c r="D4" s="11"/>
      <c r="E4" s="11"/>
      <c r="F4" s="12"/>
      <c r="G4" s="10" t="s">
        <v>49</v>
      </c>
      <c r="H4" s="13"/>
      <c r="I4" s="11" t="s">
        <v>48</v>
      </c>
      <c r="J4" s="11"/>
      <c r="K4" s="14"/>
      <c r="N4" s="85"/>
      <c r="O4" s="83"/>
    </row>
    <row r="5" spans="1:16" x14ac:dyDescent="0.2">
      <c r="A5" s="10" t="s">
        <v>3</v>
      </c>
      <c r="D5" s="11"/>
      <c r="E5" s="11"/>
      <c r="F5" s="12"/>
      <c r="G5" s="15" t="s">
        <v>34</v>
      </c>
      <c r="H5" s="9"/>
      <c r="I5" s="7" t="s">
        <v>4</v>
      </c>
      <c r="J5" s="7"/>
      <c r="K5" s="8"/>
    </row>
    <row r="6" spans="1:16" x14ac:dyDescent="0.2">
      <c r="A6" s="16" t="s">
        <v>5</v>
      </c>
      <c r="D6" s="17"/>
      <c r="E6" s="17"/>
      <c r="F6" s="18"/>
      <c r="G6" s="97"/>
      <c r="H6" s="98"/>
      <c r="K6" s="14"/>
      <c r="M6" s="83"/>
      <c r="N6" s="84"/>
    </row>
    <row r="7" spans="1:16" ht="16" thickBot="1" x14ac:dyDescent="0.25">
      <c r="A7" s="10" t="s">
        <v>30</v>
      </c>
      <c r="D7" s="11"/>
      <c r="E7" s="11"/>
      <c r="F7" s="12"/>
      <c r="G7" s="2"/>
      <c r="H7" s="19"/>
      <c r="I7" s="3"/>
      <c r="J7" s="3"/>
      <c r="K7" s="5"/>
      <c r="N7" s="87"/>
      <c r="P7" s="84"/>
    </row>
    <row r="8" spans="1:16" x14ac:dyDescent="0.2">
      <c r="A8" s="10" t="s">
        <v>31</v>
      </c>
      <c r="D8" s="11"/>
      <c r="E8" s="11"/>
      <c r="F8" s="12"/>
      <c r="G8" s="6"/>
      <c r="H8" s="9"/>
      <c r="I8" s="6"/>
      <c r="J8" s="7"/>
      <c r="K8" s="8"/>
      <c r="M8" s="84"/>
      <c r="N8" s="88"/>
    </row>
    <row r="9" spans="1:16" x14ac:dyDescent="0.2">
      <c r="A9" s="20" t="s">
        <v>32</v>
      </c>
      <c r="C9" s="17"/>
      <c r="D9" s="17"/>
      <c r="E9" s="17"/>
      <c r="F9" s="18"/>
      <c r="G9" s="10" t="s">
        <v>6</v>
      </c>
      <c r="H9" s="21"/>
      <c r="I9" s="10" t="s">
        <v>50</v>
      </c>
      <c r="J9" s="11"/>
      <c r="K9" s="14"/>
      <c r="M9" s="83"/>
      <c r="N9" s="87"/>
    </row>
    <row r="10" spans="1:16" ht="16" thickBot="1" x14ac:dyDescent="0.25">
      <c r="A10" s="20" t="s">
        <v>33</v>
      </c>
      <c r="F10" s="14"/>
      <c r="G10" s="20"/>
      <c r="H10" s="21"/>
      <c r="I10" s="22"/>
      <c r="J10" s="23"/>
      <c r="K10" s="24"/>
      <c r="M10" s="84"/>
    </row>
    <row r="11" spans="1:16" x14ac:dyDescent="0.2">
      <c r="A11" s="20"/>
      <c r="F11" s="14"/>
      <c r="G11" s="15"/>
      <c r="H11" s="9"/>
      <c r="I11" s="6"/>
      <c r="J11" s="7"/>
      <c r="K11" s="8"/>
    </row>
    <row r="12" spans="1:16" x14ac:dyDescent="0.2">
      <c r="A12" s="20"/>
      <c r="F12" s="14"/>
      <c r="G12" s="10" t="s">
        <v>7</v>
      </c>
      <c r="H12" s="21"/>
      <c r="I12" s="11" t="s">
        <v>51</v>
      </c>
      <c r="J12" s="11"/>
      <c r="K12" s="12"/>
      <c r="N12" s="87"/>
      <c r="O12" s="83"/>
    </row>
    <row r="13" spans="1:16" ht="16" thickBot="1" x14ac:dyDescent="0.25">
      <c r="A13" s="2"/>
      <c r="B13" s="3"/>
      <c r="C13" s="3"/>
      <c r="D13" s="3"/>
      <c r="E13" s="3"/>
      <c r="F13" s="5"/>
      <c r="G13" s="2"/>
      <c r="H13" s="19"/>
      <c r="I13" s="22"/>
      <c r="J13" s="23"/>
      <c r="K13" s="24"/>
    </row>
    <row r="14" spans="1:16" x14ac:dyDescent="0.2">
      <c r="A14" s="6" t="s">
        <v>8</v>
      </c>
      <c r="B14" s="7"/>
      <c r="C14" s="7"/>
      <c r="D14" s="7"/>
      <c r="E14" s="7"/>
      <c r="F14" s="8"/>
      <c r="G14" s="10" t="s">
        <v>9</v>
      </c>
      <c r="H14" s="21"/>
      <c r="I14" t="s">
        <v>10</v>
      </c>
      <c r="K14" s="14"/>
      <c r="N14" s="83"/>
      <c r="O14" s="83"/>
    </row>
    <row r="15" spans="1:16" ht="16" x14ac:dyDescent="0.2">
      <c r="A15" s="84"/>
      <c r="B15" s="90"/>
      <c r="C15" s="91"/>
      <c r="D15" s="89"/>
      <c r="E15" s="26"/>
      <c r="F15" s="27"/>
      <c r="G15" s="10"/>
      <c r="H15" s="21"/>
      <c r="I15" t="s">
        <v>11</v>
      </c>
      <c r="K15" s="14"/>
    </row>
    <row r="16" spans="1:16" ht="16" thickBot="1" x14ac:dyDescent="0.25">
      <c r="A16" s="84"/>
      <c r="B16" s="84" t="s">
        <v>55</v>
      </c>
      <c r="C16" s="92"/>
      <c r="E16" s="11"/>
      <c r="F16" s="27"/>
      <c r="G16" s="2"/>
      <c r="H16" s="19"/>
      <c r="I16" s="3"/>
      <c r="J16" s="3"/>
      <c r="K16" s="5"/>
    </row>
    <row r="17" spans="1:16" x14ac:dyDescent="0.2">
      <c r="A17" s="83"/>
      <c r="C17" s="86"/>
      <c r="E17" s="26"/>
      <c r="F17" s="27"/>
      <c r="G17" s="6" t="s">
        <v>12</v>
      </c>
      <c r="H17" s="28"/>
      <c r="I17" s="7"/>
      <c r="J17" s="7"/>
      <c r="K17" s="8"/>
    </row>
    <row r="18" spans="1:16" x14ac:dyDescent="0.2">
      <c r="A18" s="10"/>
      <c r="C18" s="86"/>
      <c r="E18" s="26"/>
      <c r="F18" s="27"/>
      <c r="G18" s="11"/>
      <c r="H18" s="11"/>
      <c r="K18" s="14"/>
    </row>
    <row r="19" spans="1:16" ht="16" thickBot="1" x14ac:dyDescent="0.25">
      <c r="A19" s="10"/>
      <c r="B19" s="26"/>
      <c r="C19" s="26"/>
      <c r="D19" s="26"/>
      <c r="E19" s="26"/>
      <c r="F19" s="14"/>
      <c r="G19" s="20"/>
      <c r="H19" s="29"/>
      <c r="K19" s="14"/>
    </row>
    <row r="20" spans="1:16" x14ac:dyDescent="0.2">
      <c r="A20" s="6"/>
      <c r="B20" s="7"/>
      <c r="C20" s="30" t="s">
        <v>13</v>
      </c>
      <c r="D20" s="7"/>
      <c r="E20" s="7"/>
      <c r="F20" s="8"/>
      <c r="G20" s="31" t="s">
        <v>14</v>
      </c>
      <c r="H20" s="31" t="s">
        <v>15</v>
      </c>
      <c r="I20" s="31" t="s">
        <v>16</v>
      </c>
      <c r="J20" s="32" t="s">
        <v>17</v>
      </c>
      <c r="K20" s="33" t="s">
        <v>18</v>
      </c>
    </row>
    <row r="21" spans="1:16" ht="16" thickBot="1" x14ac:dyDescent="0.25">
      <c r="A21" s="2"/>
      <c r="B21" s="3"/>
      <c r="C21" s="3"/>
      <c r="D21" s="3"/>
      <c r="E21" s="3"/>
      <c r="F21" s="5"/>
      <c r="G21" s="34"/>
      <c r="H21" s="34" t="s">
        <v>19</v>
      </c>
      <c r="I21" s="2"/>
      <c r="J21" s="35" t="s">
        <v>19</v>
      </c>
      <c r="K21" s="36" t="s">
        <v>19</v>
      </c>
    </row>
    <row r="22" spans="1:16" x14ac:dyDescent="0.2">
      <c r="A22" s="37"/>
      <c r="B22" s="38"/>
      <c r="D22" s="7"/>
      <c r="E22" s="7"/>
      <c r="F22" s="8"/>
      <c r="G22" s="39"/>
      <c r="H22" s="40"/>
      <c r="I22" s="6"/>
      <c r="J22" s="6"/>
      <c r="K22" s="41"/>
      <c r="P22" s="84"/>
    </row>
    <row r="23" spans="1:16" x14ac:dyDescent="0.2">
      <c r="A23" s="99" t="s">
        <v>52</v>
      </c>
      <c r="B23" s="126"/>
      <c r="C23" s="126"/>
      <c r="D23" s="126"/>
      <c r="E23" s="126"/>
      <c r="F23" s="127"/>
      <c r="G23" s="42">
        <v>6</v>
      </c>
      <c r="H23" s="43">
        <v>2500</v>
      </c>
      <c r="I23" s="10"/>
      <c r="J23" s="10"/>
      <c r="K23" s="44">
        <f>+G23*H23</f>
        <v>15000</v>
      </c>
    </row>
    <row r="24" spans="1:16" x14ac:dyDescent="0.2">
      <c r="A24" s="100" t="s">
        <v>53</v>
      </c>
      <c r="B24" s="124"/>
      <c r="C24" s="124"/>
      <c r="D24" s="124"/>
      <c r="E24" s="124"/>
      <c r="F24" s="125"/>
      <c r="G24" s="42"/>
      <c r="H24" s="43"/>
      <c r="I24" s="10"/>
      <c r="J24" s="10"/>
      <c r="K24" s="44"/>
    </row>
    <row r="25" spans="1:16" x14ac:dyDescent="0.2">
      <c r="A25" s="25"/>
      <c r="B25" s="26"/>
      <c r="C25" s="26"/>
      <c r="D25" s="26"/>
      <c r="E25" s="26"/>
      <c r="F25" s="27"/>
      <c r="G25" s="42"/>
      <c r="H25" s="43"/>
      <c r="I25" s="10"/>
      <c r="J25" s="10"/>
      <c r="K25" s="44"/>
    </row>
    <row r="26" spans="1:16" x14ac:dyDescent="0.2">
      <c r="A26" s="45" t="s">
        <v>47</v>
      </c>
      <c r="B26" s="26"/>
      <c r="C26" s="26"/>
      <c r="D26" s="88"/>
      <c r="E26" s="26"/>
      <c r="F26" s="27"/>
      <c r="G26" s="42"/>
      <c r="H26" s="43"/>
      <c r="I26" s="10"/>
      <c r="J26" s="10"/>
      <c r="K26" s="44">
        <v>4480</v>
      </c>
    </row>
    <row r="27" spans="1:16" ht="16" thickBot="1" x14ac:dyDescent="0.25">
      <c r="B27" s="26"/>
      <c r="C27" s="46"/>
      <c r="D27" s="46"/>
      <c r="E27" s="47"/>
      <c r="F27" s="27"/>
      <c r="G27" s="48"/>
      <c r="H27" s="49"/>
      <c r="I27" s="10"/>
      <c r="J27" s="10"/>
      <c r="K27" s="50"/>
    </row>
    <row r="28" spans="1:16" x14ac:dyDescent="0.2">
      <c r="A28" s="49"/>
      <c r="B28" s="51"/>
      <c r="C28" s="26"/>
      <c r="D28" s="46"/>
      <c r="E28" s="52"/>
      <c r="F28" s="27"/>
      <c r="G28" s="48"/>
      <c r="H28" s="49"/>
      <c r="I28" s="10"/>
      <c r="J28" s="10"/>
      <c r="K28" s="44">
        <f>+SUM(K23:K26)</f>
        <v>19480</v>
      </c>
    </row>
    <row r="29" spans="1:16" x14ac:dyDescent="0.2">
      <c r="A29" s="49"/>
      <c r="B29" s="51"/>
      <c r="C29" s="26"/>
      <c r="D29" s="26"/>
      <c r="E29" s="26"/>
      <c r="F29" s="53" t="s">
        <v>20</v>
      </c>
      <c r="G29" s="48"/>
      <c r="H29" s="93">
        <v>2.5000000000000001E-2</v>
      </c>
      <c r="I29" s="54"/>
      <c r="J29" s="10"/>
      <c r="K29" s="44">
        <f>+K23*0.06+K26*0.025</f>
        <v>1012</v>
      </c>
    </row>
    <row r="30" spans="1:16" x14ac:dyDescent="0.2">
      <c r="A30" s="49"/>
      <c r="B30" s="51"/>
      <c r="C30" s="26"/>
      <c r="D30" s="26"/>
      <c r="E30" s="26"/>
      <c r="F30" s="53" t="s">
        <v>21</v>
      </c>
      <c r="G30" s="48"/>
      <c r="H30" s="93">
        <v>2.5000000000000001E-2</v>
      </c>
      <c r="I30" s="54"/>
      <c r="J30" s="10"/>
      <c r="K30" s="44">
        <f>+K23*0.06+K26*0.025</f>
        <v>1012</v>
      </c>
    </row>
    <row r="31" spans="1:16" x14ac:dyDescent="0.2">
      <c r="A31" s="55"/>
      <c r="B31" s="56"/>
      <c r="C31" s="46"/>
      <c r="D31" s="11"/>
      <c r="E31" s="26"/>
      <c r="F31" s="53" t="s">
        <v>22</v>
      </c>
      <c r="G31" s="48"/>
      <c r="H31" s="54"/>
      <c r="I31" s="54"/>
      <c r="J31" s="10"/>
      <c r="K31" s="44"/>
    </row>
    <row r="32" spans="1:16" x14ac:dyDescent="0.2">
      <c r="A32" s="57"/>
      <c r="B32" s="46"/>
      <c r="D32" s="46"/>
      <c r="E32" s="46"/>
      <c r="F32" s="27"/>
      <c r="G32" s="48"/>
      <c r="H32" s="54"/>
      <c r="I32" s="54"/>
      <c r="J32" s="10"/>
      <c r="K32" s="58"/>
    </row>
    <row r="33" spans="1:11" x14ac:dyDescent="0.2">
      <c r="A33" s="25"/>
      <c r="B33" s="26"/>
      <c r="C33" s="26"/>
      <c r="D33" s="26"/>
      <c r="E33" s="26"/>
      <c r="F33" s="27"/>
      <c r="G33" s="42"/>
      <c r="H33" s="49"/>
      <c r="I33" s="54"/>
      <c r="J33" s="48"/>
      <c r="K33" s="44"/>
    </row>
    <row r="34" spans="1:11" x14ac:dyDescent="0.2">
      <c r="A34" s="25"/>
      <c r="B34" s="26"/>
      <c r="C34" s="56"/>
      <c r="D34" s="26"/>
      <c r="E34" s="26"/>
      <c r="F34" s="27"/>
      <c r="G34" s="59"/>
      <c r="H34" s="54"/>
      <c r="I34" s="54"/>
      <c r="J34" s="59"/>
      <c r="K34" s="44"/>
    </row>
    <row r="35" spans="1:11" x14ac:dyDescent="0.2">
      <c r="A35" s="20"/>
      <c r="B35" s="11"/>
      <c r="C35" s="56"/>
      <c r="D35" s="26"/>
      <c r="E35" s="46"/>
      <c r="F35" s="53"/>
      <c r="G35" s="59"/>
      <c r="H35" s="54"/>
      <c r="I35" s="54"/>
      <c r="J35" s="59"/>
      <c r="K35" s="44"/>
    </row>
    <row r="36" spans="1:11" ht="16" thickBot="1" x14ac:dyDescent="0.25">
      <c r="A36" s="2"/>
      <c r="B36" s="3"/>
      <c r="C36" s="60"/>
      <c r="D36" s="3"/>
      <c r="E36" s="3"/>
      <c r="F36" s="5"/>
      <c r="G36" s="61"/>
      <c r="H36" s="62"/>
      <c r="I36" s="20"/>
      <c r="J36" s="59"/>
      <c r="K36" s="61"/>
    </row>
    <row r="37" spans="1:11" x14ac:dyDescent="0.2">
      <c r="A37" s="6" t="s">
        <v>23</v>
      </c>
      <c r="B37" s="7"/>
      <c r="C37" s="63" t="s">
        <v>54</v>
      </c>
      <c r="E37" s="63"/>
      <c r="F37" s="64"/>
      <c r="G37" s="6"/>
      <c r="H37" s="40"/>
      <c r="I37" s="6"/>
      <c r="J37" s="41"/>
      <c r="K37" s="65">
        <f>+ROUND(SUM(K28:K36),0)</f>
        <v>21504</v>
      </c>
    </row>
    <row r="38" spans="1:11" ht="16" thickBot="1" x14ac:dyDescent="0.25">
      <c r="A38" s="2" t="s">
        <v>24</v>
      </c>
      <c r="B38" s="3"/>
      <c r="C38" s="23"/>
      <c r="D38" s="60"/>
      <c r="E38" s="60"/>
      <c r="F38" s="66"/>
      <c r="G38" s="2"/>
      <c r="H38" s="67"/>
      <c r="I38" s="2"/>
      <c r="J38" s="61"/>
      <c r="K38" s="5"/>
    </row>
    <row r="39" spans="1:11" ht="16" thickBot="1" x14ac:dyDescent="0.25">
      <c r="A39" s="6"/>
      <c r="B39" s="7"/>
      <c r="C39" s="7"/>
      <c r="D39" s="7"/>
      <c r="E39" s="7"/>
      <c r="F39" s="7"/>
      <c r="G39" s="7"/>
      <c r="H39" s="28"/>
      <c r="I39" s="7"/>
      <c r="J39" s="68" t="s">
        <v>25</v>
      </c>
      <c r="K39" s="8"/>
    </row>
    <row r="40" spans="1:11" x14ac:dyDescent="0.2">
      <c r="A40" s="101" t="s">
        <v>39</v>
      </c>
      <c r="B40" s="102"/>
      <c r="C40" s="102"/>
      <c r="D40" s="102"/>
      <c r="E40" s="103"/>
      <c r="F40" s="104" t="s">
        <v>37</v>
      </c>
      <c r="G40" s="106" t="s">
        <v>20</v>
      </c>
      <c r="H40" s="106"/>
      <c r="I40" s="106" t="s">
        <v>36</v>
      </c>
      <c r="J40" s="106"/>
      <c r="K40" s="107" t="s">
        <v>35</v>
      </c>
    </row>
    <row r="41" spans="1:11" x14ac:dyDescent="0.2">
      <c r="A41" s="109"/>
      <c r="B41" s="110"/>
      <c r="C41" s="110"/>
      <c r="D41" s="110"/>
      <c r="E41" s="111"/>
      <c r="F41" s="105"/>
      <c r="G41" s="69" t="s">
        <v>15</v>
      </c>
      <c r="H41" s="70" t="s">
        <v>18</v>
      </c>
      <c r="I41" s="69" t="s">
        <v>15</v>
      </c>
      <c r="J41" s="69" t="s">
        <v>18</v>
      </c>
      <c r="K41" s="108"/>
    </row>
    <row r="42" spans="1:11" ht="15" customHeight="1" x14ac:dyDescent="0.2">
      <c r="A42" s="109"/>
      <c r="B42" s="110"/>
      <c r="C42" s="110"/>
      <c r="D42" s="110"/>
      <c r="E42" s="111"/>
      <c r="F42" s="75">
        <f>+K23</f>
        <v>15000</v>
      </c>
      <c r="G42" s="119" t="s">
        <v>56</v>
      </c>
      <c r="H42" s="77">
        <f>+F42*0.025</f>
        <v>375</v>
      </c>
      <c r="I42" s="119" t="s">
        <v>56</v>
      </c>
      <c r="J42" s="77">
        <f>+F42*0.025</f>
        <v>375</v>
      </c>
      <c r="K42" s="82"/>
    </row>
    <row r="43" spans="1:11" x14ac:dyDescent="0.2">
      <c r="A43" s="73"/>
      <c r="B43" s="74"/>
      <c r="C43" s="74"/>
      <c r="D43" s="74"/>
      <c r="E43" s="74"/>
      <c r="F43" s="76">
        <f>+K26</f>
        <v>4480</v>
      </c>
      <c r="G43" s="120"/>
      <c r="H43" s="78">
        <f>+F43*0.025</f>
        <v>112</v>
      </c>
      <c r="I43" s="120"/>
      <c r="J43" s="78">
        <f>+F43*0.025</f>
        <v>112</v>
      </c>
      <c r="K43" s="81"/>
    </row>
    <row r="44" spans="1:11" ht="16" thickBot="1" x14ac:dyDescent="0.25">
      <c r="A44" s="121"/>
      <c r="B44" s="122"/>
      <c r="C44" s="122"/>
      <c r="D44" s="123"/>
      <c r="E44" s="71" t="s">
        <v>38</v>
      </c>
      <c r="F44" s="79">
        <f>SUM(F42:F43)</f>
        <v>19480</v>
      </c>
      <c r="G44" s="72"/>
      <c r="H44" s="79">
        <f>SUM(H42:H43)</f>
        <v>487</v>
      </c>
      <c r="I44" s="72"/>
      <c r="J44" s="79">
        <f>SUM(J42:J43)</f>
        <v>487</v>
      </c>
      <c r="K44" s="80"/>
    </row>
    <row r="45" spans="1:11" x14ac:dyDescent="0.2">
      <c r="A45" s="10"/>
      <c r="B45" s="11"/>
      <c r="C45" s="11"/>
      <c r="D45" s="11"/>
      <c r="H45" s="29"/>
      <c r="K45" s="14"/>
    </row>
    <row r="46" spans="1:11" x14ac:dyDescent="0.2">
      <c r="A46" s="10"/>
      <c r="B46" s="11"/>
      <c r="C46" s="11"/>
      <c r="D46" s="11"/>
      <c r="H46" s="29"/>
      <c r="K46" s="14"/>
    </row>
    <row r="47" spans="1:11" x14ac:dyDescent="0.2">
      <c r="A47" s="10"/>
      <c r="B47" s="11"/>
      <c r="C47" s="11"/>
      <c r="D47" s="11"/>
      <c r="H47" s="29"/>
      <c r="K47" s="14"/>
    </row>
    <row r="48" spans="1:11" x14ac:dyDescent="0.2">
      <c r="A48" s="10"/>
      <c r="B48" s="11"/>
      <c r="C48" s="11"/>
      <c r="D48" s="11"/>
      <c r="G48" t="s">
        <v>40</v>
      </c>
      <c r="K48" s="14"/>
    </row>
    <row r="49" spans="1:11" x14ac:dyDescent="0.2">
      <c r="A49" s="20"/>
      <c r="D49" s="11"/>
      <c r="G49" s="112" t="s">
        <v>41</v>
      </c>
      <c r="H49" s="112"/>
      <c r="I49" s="112"/>
      <c r="J49" s="112"/>
      <c r="K49" s="113"/>
    </row>
    <row r="50" spans="1:11" x14ac:dyDescent="0.2">
      <c r="A50" s="10" t="s">
        <v>26</v>
      </c>
      <c r="B50" s="11"/>
      <c r="C50" s="11"/>
      <c r="G50" t="s">
        <v>42</v>
      </c>
      <c r="H50" s="29"/>
      <c r="K50" s="14"/>
    </row>
    <row r="51" spans="1:11" x14ac:dyDescent="0.2">
      <c r="A51" s="20" t="s">
        <v>27</v>
      </c>
      <c r="G51" t="s">
        <v>43</v>
      </c>
      <c r="H51" s="29"/>
      <c r="I51" s="11"/>
      <c r="J51" s="11"/>
      <c r="K51" s="12"/>
    </row>
    <row r="52" spans="1:11" x14ac:dyDescent="0.2">
      <c r="A52" s="20" t="s">
        <v>28</v>
      </c>
      <c r="G52" s="1" t="s">
        <v>44</v>
      </c>
      <c r="H52" s="29"/>
      <c r="K52" s="14"/>
    </row>
    <row r="53" spans="1:11" x14ac:dyDescent="0.2">
      <c r="A53" s="20" t="s">
        <v>29</v>
      </c>
      <c r="G53" s="114" t="s">
        <v>45</v>
      </c>
      <c r="H53" s="115"/>
      <c r="I53" s="115"/>
      <c r="J53" s="115"/>
      <c r="K53" s="116"/>
    </row>
    <row r="54" spans="1:11" x14ac:dyDescent="0.2">
      <c r="A54" s="20"/>
      <c r="G54" s="115"/>
      <c r="H54" s="115"/>
      <c r="I54" s="115"/>
      <c r="J54" s="115"/>
      <c r="K54" s="116"/>
    </row>
    <row r="55" spans="1:11" ht="16" thickBot="1" x14ac:dyDescent="0.25">
      <c r="A55" s="2"/>
      <c r="B55" s="3"/>
      <c r="C55" s="3"/>
      <c r="D55" s="3"/>
      <c r="E55" s="3"/>
      <c r="F55" s="3"/>
      <c r="G55" s="117"/>
      <c r="H55" s="117"/>
      <c r="I55" s="117"/>
      <c r="J55" s="117"/>
      <c r="K55" s="118"/>
    </row>
  </sheetData>
  <mergeCells count="16">
    <mergeCell ref="A44:D44"/>
    <mergeCell ref="G49:K49"/>
    <mergeCell ref="G53:K55"/>
    <mergeCell ref="A42:E42"/>
    <mergeCell ref="G42:G43"/>
    <mergeCell ref="I42:I43"/>
    <mergeCell ref="A1:K1"/>
    <mergeCell ref="G6:H6"/>
    <mergeCell ref="A23:F23"/>
    <mergeCell ref="A24:F24"/>
    <mergeCell ref="A40:E40"/>
    <mergeCell ref="F40:F41"/>
    <mergeCell ref="G40:H40"/>
    <mergeCell ref="I40:J40"/>
    <mergeCell ref="K40:K41"/>
    <mergeCell ref="A41:E41"/>
  </mergeCells>
  <pageMargins left="0.7" right="0.7" top="0.75" bottom="0.75" header="0.3" footer="0.3"/>
  <pageSetup paperSize="9" scale="8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With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KUMAR</dc:creator>
  <cp:lastModifiedBy>Rakhee Agarwal</cp:lastModifiedBy>
  <cp:lastPrinted>2025-09-19T10:39:51Z</cp:lastPrinted>
  <dcterms:created xsi:type="dcterms:W3CDTF">2024-12-13T05:54:38Z</dcterms:created>
  <dcterms:modified xsi:type="dcterms:W3CDTF">2026-02-18T15:56:32Z</dcterms:modified>
</cp:coreProperties>
</file>